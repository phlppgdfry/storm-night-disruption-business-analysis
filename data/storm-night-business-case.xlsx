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imulation" sheetId="3" state="visible" r:id="rId3"/>
    <sheet xmlns:r="http://schemas.openxmlformats.org/officeDocument/2006/relationships" name="Business case" sheetId="4" state="visible" r:id="rId4"/>
    <sheet xmlns:r="http://schemas.openxmlformats.org/officeDocument/2006/relationships" name="Policies" sheetId="5" state="visible" r:id="rId5"/>
    <sheet xmlns:r="http://schemas.openxmlformats.org/officeDocument/2006/relationships" name="Torn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508F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3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Storm Night — business case workbook</t>
        </is>
      </c>
    </row>
    <row r="2">
      <c r="A2" s="2" t="inlineStr">
        <is>
          <t>Fictional operator (Tidewell Shortsea Lines). Illustrative assumptions — not real company data.</t>
        </is>
      </c>
    </row>
    <row r="3">
      <c r="A3" s="2" t="inlineStr">
        <is>
          <t>Generated by scripts/build_workbook.py from model/assumptions.json and site/data/results.json.</t>
        </is>
      </c>
    </row>
    <row r="4">
      <c r="A4" s="2" t="inlineStr">
        <is>
          <t>Yellow cells on 'Assumptions' are inputs: change one and 'Business case' recalculates.</t>
        </is>
      </c>
    </row>
    <row r="5">
      <c r="A5" s="2" t="inlineStr">
        <is>
          <t>Per-event savings come from 200 simulated storm nights (AS-IS vs TO-BE on the same freight); Excel cannot run the simulation itself.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70" customWidth="1" min="3" max="3"/>
    <col width="10" customWidth="1" min="4" max="4"/>
    <col width="10" customWidth="1" min="5" max="5"/>
    <col width="10" customWidth="1" min="6" max="6"/>
    <col width="12" customWidth="1" min="7" max="7"/>
    <col width="16" customWidth="1" min="8" max="8"/>
    <col width="80" customWidth="1" min="9" max="9"/>
  </cols>
  <sheetData>
    <row r="1">
      <c r="A1" s="3" t="inlineStr">
        <is>
          <t>ID</t>
        </is>
      </c>
      <c r="B1" s="3" t="inlineStr">
        <is>
          <t>Key</t>
        </is>
      </c>
      <c r="C1" s="3" t="inlineStr">
        <is>
          <t>Assumption</t>
        </is>
      </c>
      <c r="D1" s="3" t="inlineStr">
        <is>
          <t>Base</t>
        </is>
      </c>
      <c r="E1" s="3" t="inlineStr">
        <is>
          <t>Low</t>
        </is>
      </c>
      <c r="F1" s="3" t="inlineStr">
        <is>
          <t>High</t>
        </is>
      </c>
      <c r="G1" s="3" t="inlineStr">
        <is>
          <t>Unit</t>
        </is>
      </c>
      <c r="H1" s="3" t="inlineStr">
        <is>
          <t>Group</t>
        </is>
      </c>
      <c r="I1" s="3" t="inlineStr">
        <is>
          <t>Why</t>
        </is>
      </c>
    </row>
    <row r="2">
      <c r="A2" t="inlineStr">
        <is>
          <t>A-01</t>
        </is>
      </c>
      <c r="B2" t="inlineStr">
        <is>
          <t>unitsPerSailing</t>
        </is>
      </c>
      <c r="C2" t="inlineStr">
        <is>
          <t>Freight units booked per cancelled sailing</t>
        </is>
      </c>
      <c r="D2" s="4" t="n">
        <v>290</v>
      </c>
      <c r="E2" t="n">
        <v>250</v>
      </c>
      <c r="F2" t="n">
        <v>320</v>
      </c>
      <c r="G2" t="inlineStr">
        <is>
          <t>units</t>
        </is>
      </c>
      <c r="H2" t="inlineStr">
        <is>
          <t>Demand</t>
        </is>
      </c>
      <c r="I2" t="inlineStr">
        <is>
          <t>Large freight RoRo on an overnight route, booked close to full before a storm.</t>
        </is>
      </c>
    </row>
    <row r="3">
      <c r="A3" t="inlineStr">
        <is>
          <t>A-02</t>
        </is>
      </c>
      <c r="B3" t="inlineStr">
        <is>
          <t>shareAccompanied</t>
        </is>
      </c>
      <c r="C3" t="inlineStr">
        <is>
          <t>Share of units with a driver (accompanied)</t>
        </is>
      </c>
      <c r="D3" s="4" t="n">
        <v>0.18</v>
      </c>
      <c r="E3" t="n">
        <v>0.12</v>
      </c>
      <c r="F3" t="n">
        <v>0.25</v>
      </c>
      <c r="G3" t="inlineStr">
        <is>
          <t>share</t>
        </is>
      </c>
      <c r="H3" t="inlineStr">
        <is>
          <t>Demand</t>
        </is>
      </c>
      <c r="I3" t="inlineStr">
        <is>
          <t>Overnight North Sea routes are mostly unaccompanied trailers.</t>
        </is>
      </c>
    </row>
    <row r="4">
      <c r="A4" t="inlineStr">
        <is>
          <t>A-03</t>
        </is>
      </c>
      <c r="B4" t="inlineStr">
        <is>
          <t>shareReefer</t>
        </is>
      </c>
      <c r="C4" t="inlineStr">
        <is>
          <t>Share of units that are reefers</t>
        </is>
      </c>
      <c r="D4" s="4" t="n">
        <v>0.12</v>
      </c>
      <c r="E4" t="n">
        <v>0.08</v>
      </c>
      <c r="F4" t="n">
        <v>0.16</v>
      </c>
      <c r="G4" t="inlineStr">
        <is>
          <t>share</t>
        </is>
      </c>
      <c r="H4" t="inlineStr">
        <is>
          <t>Demand</t>
        </is>
      </c>
      <c r="I4" t="inlineStr">
        <is>
          <t>Food and pharma flows to the UK.</t>
        </is>
      </c>
    </row>
    <row r="5">
      <c r="A5" t="inlineStr">
        <is>
          <t>A-04</t>
        </is>
      </c>
      <c r="B5" t="inlineStr">
        <is>
          <t>sharePerishable</t>
        </is>
      </c>
      <c r="C5" t="inlineStr">
        <is>
          <t>Share of reefers with a delivery deadline that matters (fresh produce, flowers)</t>
        </is>
      </c>
      <c r="D5" s="4" t="n">
        <v>0.7</v>
      </c>
      <c r="E5" t="n">
        <v>0.5</v>
      </c>
      <c r="F5" t="n">
        <v>0.85</v>
      </c>
      <c r="G5" t="inlineStr">
        <is>
          <t>share</t>
        </is>
      </c>
      <c r="H5" t="inlineStr">
        <is>
          <t>Demand</t>
        </is>
      </c>
      <c r="I5" t="inlineStr">
        <is>
          <t>Frozen cargo can wait; fresh cargo has a market slot.</t>
        </is>
      </c>
    </row>
    <row r="6">
      <c r="A6" t="inlineStr">
        <is>
          <t>A-05</t>
        </is>
      </c>
      <c r="B6" t="inlineStr">
        <is>
          <t>perishableFlagged</t>
        </is>
      </c>
      <c r="C6" t="inlineStr">
        <is>
          <t>Share of perishable reefers whose booking carries a usable commodity code and deadline</t>
        </is>
      </c>
      <c r="D6" s="4" t="n">
        <v>0.75</v>
      </c>
      <c r="E6" t="n">
        <v>0.5</v>
      </c>
      <c r="F6" t="n">
        <v>0.95</v>
      </c>
      <c r="G6" t="inlineStr">
        <is>
          <t>share</t>
        </is>
      </c>
      <c r="H6" t="inlineStr">
        <is>
          <t>Demand</t>
        </is>
      </c>
      <c r="I6" t="inlineStr">
        <is>
          <t>Today the field is free text and optional; the TO-BE can only protect what the booking data says is perishable.</t>
        </is>
      </c>
    </row>
    <row r="7">
      <c r="A7" t="inlineStr">
        <is>
          <t>A-06</t>
        </is>
      </c>
      <c r="B7" t="inlineStr">
        <is>
          <t>deadlineMinH</t>
        </is>
      </c>
      <c r="C7" t="inlineStr">
        <is>
          <t>Perishable deadline: earliest, hours after the original departure</t>
        </is>
      </c>
      <c r="D7" s="4" t="n">
        <v>14</v>
      </c>
      <c r="E7" t="n">
        <v>10</v>
      </c>
      <c r="F7" t="n">
        <v>18</v>
      </c>
      <c r="G7" t="inlineStr">
        <is>
          <t>hours</t>
        </is>
      </c>
      <c r="H7" t="inlineStr">
        <is>
          <t>Demand</t>
        </is>
      </c>
      <c r="I7" t="inlineStr">
        <is>
          <t>Next-morning market slot plus road leg.</t>
        </is>
      </c>
    </row>
    <row r="8">
      <c r="A8" t="inlineStr">
        <is>
          <t>A-07</t>
        </is>
      </c>
      <c r="B8" t="inlineStr">
        <is>
          <t>deadlineMaxH</t>
        </is>
      </c>
      <c r="C8" t="inlineStr">
        <is>
          <t>Perishable deadline: latest, hours after the original departure</t>
        </is>
      </c>
      <c r="D8" s="4" t="n">
        <v>34</v>
      </c>
      <c r="E8" t="n">
        <v>28</v>
      </c>
      <c r="F8" t="n">
        <v>40</v>
      </c>
      <c r="G8" t="inlineStr">
        <is>
          <t>hours</t>
        </is>
      </c>
      <c r="H8" t="inlineStr">
        <is>
          <t>Demand</t>
        </is>
      </c>
      <c r="I8" t="inlineStr">
        <is>
          <t>Shelf life of the slowest-spoiling fresh goods in the mix.</t>
        </is>
      </c>
    </row>
    <row r="9">
      <c r="A9" t="inlineStr">
        <is>
          <t>A-08</t>
        </is>
      </c>
      <c r="B9" t="inlineStr">
        <is>
          <t>shareAdr</t>
        </is>
      </c>
      <c r="C9" t="inlineStr">
        <is>
          <t>Share of units with dangerous goods (ADR)</t>
        </is>
      </c>
      <c r="D9" s="4" t="n">
        <v>0.05</v>
      </c>
      <c r="E9" t="n">
        <v>0.03</v>
      </c>
      <c r="F9" t="n">
        <v>0.08</v>
      </c>
      <c r="G9" t="inlineStr">
        <is>
          <t>share</t>
        </is>
      </c>
      <c r="H9" t="inlineStr">
        <is>
          <t>Demand</t>
        </is>
      </c>
      <c r="I9" t="inlineStr">
        <is>
          <t>Chemicals and gas cylinders; limited to weather-deck slots.</t>
        </is>
      </c>
    </row>
    <row r="10">
      <c r="A10" t="inlineStr">
        <is>
          <t>A-09</t>
        </is>
      </c>
      <c r="B10" t="inlineStr">
        <is>
          <t>shareProject</t>
        </is>
      </c>
      <c r="C10" t="inlineStr">
        <is>
          <t>Share of oversized / project cargo</t>
        </is>
      </c>
      <c r="D10" s="4" t="n">
        <v>0.02</v>
      </c>
      <c r="E10" t="n">
        <v>0.01</v>
      </c>
      <c r="F10" t="n">
        <v>0.04</v>
      </c>
      <c r="G10" t="inlineStr">
        <is>
          <t>share</t>
        </is>
      </c>
      <c r="H10" t="inlineStr">
        <is>
          <t>Demand</t>
        </is>
      </c>
      <c r="I10" t="inlineStr">
        <is>
          <t>Only some vessels have the deck height.</t>
        </is>
      </c>
    </row>
    <row r="11">
      <c r="A11" t="inlineStr">
        <is>
          <t>A-10</t>
        </is>
      </c>
      <c r="B11" t="inlineStr">
        <is>
          <t>customers</t>
        </is>
      </c>
      <c r="C11" t="inlineStr">
        <is>
          <t>Customers with units on the cancelled sailings</t>
        </is>
      </c>
      <c r="D11" s="4" t="n">
        <v>140</v>
      </c>
      <c r="E11" t="n">
        <v>110</v>
      </c>
      <c r="F11" t="n">
        <v>170</v>
      </c>
      <c r="G11" t="inlineStr">
        <is>
          <t>customers</t>
        </is>
      </c>
      <c r="H11" t="inlineStr">
        <is>
          <t>Demand</t>
        </is>
      </c>
      <c r="I11" t="inlineStr">
        <is>
          <t>Mix of forwarders, hauliers and shippers.</t>
        </is>
      </c>
    </row>
    <row r="12">
      <c r="A12" t="inlineStr">
        <is>
          <t>A-11</t>
        </is>
      </c>
      <c r="B12" t="inlineStr">
        <is>
          <t>contractCustomers</t>
        </is>
      </c>
      <c r="C12" t="inlineStr">
        <is>
          <t>Contract customers (allotment holders) among them</t>
        </is>
      </c>
      <c r="D12" s="4" t="n">
        <v>12</v>
      </c>
      <c r="E12" t="n">
        <v>8</v>
      </c>
      <c r="F12" t="n">
        <v>16</v>
      </c>
      <c r="G12" t="inlineStr">
        <is>
          <t>customers</t>
        </is>
      </c>
      <c r="H12" t="inlineStr">
        <is>
          <t>Demand</t>
        </is>
      </c>
      <c r="I12" t="inlineStr">
        <is>
          <t>Large forwarders with yearly allotments.</t>
        </is>
      </c>
    </row>
    <row r="13">
      <c r="A13" t="inlineStr">
        <is>
          <t>A-12</t>
        </is>
      </c>
      <c r="B13" t="inlineStr">
        <is>
          <t>contractShare</t>
        </is>
      </c>
      <c r="C13" t="inlineStr">
        <is>
          <t>Share of units belonging to contract customers</t>
        </is>
      </c>
      <c r="D13" s="4" t="n">
        <v>0.45</v>
      </c>
      <c r="E13" t="n">
        <v>0.35</v>
      </c>
      <c r="F13" t="n">
        <v>0.55</v>
      </c>
      <c r="G13" t="inlineStr">
        <is>
          <t>share</t>
        </is>
      </c>
      <c r="H13" t="inlineStr">
        <is>
          <t>Demand</t>
        </is>
      </c>
      <c r="I13" t="inlineStr">
        <is>
          <t>Allotments are the backbone of the route.</t>
        </is>
      </c>
    </row>
    <row r="14">
      <c r="A14" t="inlineStr">
        <is>
          <t>A-13</t>
        </is>
      </c>
      <c r="B14" t="inlineStr">
        <is>
          <t>customsMissingShare</t>
        </is>
      </c>
      <c r="C14" t="inlineStr">
        <is>
          <t>Units without a customs pre-lodgement at cancellation</t>
        </is>
      </c>
      <c r="D14" s="4" t="n">
        <v>0.04</v>
      </c>
      <c r="E14" t="n">
        <v>0.02</v>
      </c>
      <c r="F14" t="n">
        <v>0.08</v>
      </c>
      <c r="G14" t="inlineStr">
        <is>
          <t>share</t>
        </is>
      </c>
      <c r="H14" t="inlineStr">
        <is>
          <t>Demand</t>
        </is>
      </c>
      <c r="I14" t="inlineStr">
        <is>
          <t>UK import declaration not yet lodged; the unit cannot be loaded.</t>
        </is>
      </c>
    </row>
    <row r="15">
      <c r="A15" t="inlineStr">
        <is>
          <t>A-14</t>
        </is>
      </c>
      <c r="B15" t="inlineStr">
        <is>
          <t>customsFixMeanH</t>
        </is>
      </c>
      <c r="C15" t="inlineStr">
        <is>
          <t>Mean time until a missing customs pre-lodgement is fixed</t>
        </is>
      </c>
      <c r="D15" s="4" t="n">
        <v>6</v>
      </c>
      <c r="E15" t="n">
        <v>3</v>
      </c>
      <c r="F15" t="n">
        <v>10</v>
      </c>
      <c r="G15" t="inlineStr">
        <is>
          <t>hours</t>
        </is>
      </c>
      <c r="H15" t="inlineStr">
        <is>
          <t>Demand</t>
        </is>
      </c>
      <c r="I15" t="inlineStr">
        <is>
          <t>Brokers work office hours; overnight cases wait.</t>
        </is>
      </c>
    </row>
    <row r="16">
      <c r="A16" t="inlineStr">
        <is>
          <t>A-15</t>
        </is>
      </c>
      <c r="B16" t="inlineStr">
        <is>
          <t>arrivalMaxH</t>
        </is>
      </c>
      <c r="C16" t="inlineStr">
        <is>
          <t>Units reach the terminal up to this many hours before their original departure</t>
        </is>
      </c>
      <c r="D16" s="4" t="n">
        <v>6</v>
      </c>
      <c r="E16" t="n">
        <v>4</v>
      </c>
      <c r="F16" t="n">
        <v>8</v>
      </c>
      <c r="G16" t="inlineStr">
        <is>
          <t>hours</t>
        </is>
      </c>
      <c r="H16" t="inlineStr">
        <is>
          <t>Terminal</t>
        </is>
      </c>
      <c r="I16" t="inlineStr">
        <is>
          <t>Arrivals spread from 6 h to 1 h before departure.</t>
        </is>
      </c>
    </row>
    <row r="17">
      <c r="A17" t="inlineStr">
        <is>
          <t>A-16</t>
        </is>
      </c>
      <c r="B17" t="inlineStr">
        <is>
          <t>yardCapacity</t>
        </is>
      </c>
      <c r="C17" t="inlineStr">
        <is>
          <t>Yard slots available for stranded units</t>
        </is>
      </c>
      <c r="D17" s="4" t="n">
        <v>650</v>
      </c>
      <c r="E17" t="n">
        <v>550</v>
      </c>
      <c r="F17" t="n">
        <v>750</v>
      </c>
      <c r="G17" t="inlineStr">
        <is>
          <t>units</t>
        </is>
      </c>
      <c r="H17" t="inlineStr">
        <is>
          <t>Terminal</t>
        </is>
      </c>
      <c r="I17" t="inlineStr">
        <is>
          <t>The rest of the yard is taken by regular traffic and imports.</t>
        </is>
      </c>
    </row>
    <row r="18">
      <c r="A18" t="inlineStr">
        <is>
          <t>A-17</t>
        </is>
      </c>
      <c r="B18" t="inlineStr">
        <is>
          <t>cutoffMin</t>
        </is>
      </c>
      <c r="C18" t="inlineStr">
        <is>
          <t>Booking must be confirmed this long before departure</t>
        </is>
      </c>
      <c r="D18" s="4" t="n">
        <v>90</v>
      </c>
      <c r="E18" t="n">
        <v>60</v>
      </c>
      <c r="F18" t="n">
        <v>120</v>
      </c>
      <c r="G18" t="inlineStr">
        <is>
          <t>minutes</t>
        </is>
      </c>
      <c r="H18" t="inlineStr">
        <is>
          <t>Terminal</t>
        </is>
      </c>
      <c r="I18" t="inlineStr">
        <is>
          <t>Load planning closes; later changes miss the stowage plan.</t>
        </is>
      </c>
    </row>
    <row r="19">
      <c r="A19" t="inlineStr">
        <is>
          <t>A-18</t>
        </is>
      </c>
      <c r="B19" t="inlineStr">
        <is>
          <t>agentsEvening</t>
        </is>
      </c>
      <c r="C19" t="inlineStr">
        <is>
          <t>Customer service agents 16:00–22:00</t>
        </is>
      </c>
      <c r="D19" s="4" t="n">
        <v>4</v>
      </c>
      <c r="E19" t="n">
        <v>3</v>
      </c>
      <c r="F19" t="n">
        <v>6</v>
      </c>
      <c r="G19" t="inlineStr">
        <is>
          <t>agents</t>
        </is>
      </c>
      <c r="H19" t="inlineStr">
        <is>
          <t>Customer service</t>
        </is>
      </c>
      <c r="I19" t="inlineStr">
        <is>
          <t>Evening shift.</t>
        </is>
      </c>
    </row>
    <row r="20">
      <c r="A20" t="inlineStr">
        <is>
          <t>A-19</t>
        </is>
      </c>
      <c r="B20" t="inlineStr">
        <is>
          <t>agentsNight</t>
        </is>
      </c>
      <c r="C20" t="inlineStr">
        <is>
          <t>Customer service agents 22:00–07:00</t>
        </is>
      </c>
      <c r="D20" s="4" t="n">
        <v>2</v>
      </c>
      <c r="E20" t="n">
        <v>1</v>
      </c>
      <c r="F20" t="n">
        <v>3</v>
      </c>
      <c r="G20" t="inlineStr">
        <is>
          <t>agents</t>
        </is>
      </c>
      <c r="H20" t="inlineStr">
        <is>
          <t>Customer service</t>
        </is>
      </c>
      <c r="I20" t="inlineStr">
        <is>
          <t>Night desk.</t>
        </is>
      </c>
    </row>
    <row r="21">
      <c r="A21" t="inlineStr">
        <is>
          <t>A-20</t>
        </is>
      </c>
      <c r="B21" t="inlineStr">
        <is>
          <t>agentsDay</t>
        </is>
      </c>
      <c r="C21" t="inlineStr">
        <is>
          <t>Customer service agents 07:00–16:00</t>
        </is>
      </c>
      <c r="D21" s="4" t="n">
        <v>9</v>
      </c>
      <c r="E21" t="n">
        <v>7</v>
      </c>
      <c r="F21" t="n">
        <v>12</v>
      </c>
      <c r="G21" t="inlineStr">
        <is>
          <t>agents</t>
        </is>
      </c>
      <c r="H21" t="inlineStr">
        <is>
          <t>Customer service</t>
        </is>
      </c>
      <c r="I21" t="inlineStr">
        <is>
          <t>Day shift on a storm day, including people called in.</t>
        </is>
      </c>
    </row>
    <row r="22">
      <c r="A22" t="inlineStr">
        <is>
          <t>A-21</t>
        </is>
      </c>
      <c r="B22" t="inlineStr">
        <is>
          <t>handleBaseMin</t>
        </is>
      </c>
      <c r="C22" t="inlineStr">
        <is>
          <t>Rebooking call: fixed handling time</t>
        </is>
      </c>
      <c r="D22" s="4" t="n">
        <v>5</v>
      </c>
      <c r="E22" t="n">
        <v>4</v>
      </c>
      <c r="F22" t="n">
        <v>7</v>
      </c>
      <c r="G22" t="inlineStr">
        <is>
          <t>minutes</t>
        </is>
      </c>
      <c r="H22" t="inlineStr">
        <is>
          <t>Customer service</t>
        </is>
      </c>
      <c r="I22" t="inlineStr">
        <is>
          <t>Identify the customer, explain the cancellation.</t>
        </is>
      </c>
    </row>
    <row r="23">
      <c r="A23" t="inlineStr">
        <is>
          <t>A-22</t>
        </is>
      </c>
      <c r="B23" t="inlineStr">
        <is>
          <t>handlePerUnitMin</t>
        </is>
      </c>
      <c r="C23" t="inlineStr">
        <is>
          <t>Rebooking call: extra time per unit rebooked</t>
        </is>
      </c>
      <c r="D23" s="4" t="n">
        <v>0.8</v>
      </c>
      <c r="E23" t="n">
        <v>0.5</v>
      </c>
      <c r="F23" t="n">
        <v>1.2</v>
      </c>
      <c r="G23" t="inlineStr">
        <is>
          <t>minutes</t>
        </is>
      </c>
      <c r="H23" t="inlineStr">
        <is>
          <t>Customer service</t>
        </is>
      </c>
      <c r="I23" t="inlineStr">
        <is>
          <t>One booking screen per unit.</t>
        </is>
      </c>
    </row>
    <row r="24">
      <c r="A24" t="inlineStr">
        <is>
          <t>A-23</t>
        </is>
      </c>
      <c r="B24" t="inlineStr">
        <is>
          <t>patienceMeanMin</t>
        </is>
      </c>
      <c r="C24" t="inlineStr">
        <is>
          <t>Mean time a caller waits before hanging up</t>
        </is>
      </c>
      <c r="D24" s="4" t="n">
        <v>8</v>
      </c>
      <c r="E24" t="n">
        <v>5</v>
      </c>
      <c r="F24" t="n">
        <v>12</v>
      </c>
      <c r="G24" t="inlineStr">
        <is>
          <t>minutes</t>
        </is>
      </c>
      <c r="H24" t="inlineStr">
        <is>
          <t>Customer service</t>
        </is>
      </c>
      <c r="I24" t="inlineStr">
        <is>
          <t>Night callers are drivers and dispatchers with other work.</t>
        </is>
      </c>
    </row>
    <row r="25">
      <c r="A25" t="inlineStr">
        <is>
          <t>A-24</t>
        </is>
      </c>
      <c r="B25" t="inlineStr">
        <is>
          <t>eveningCallShare</t>
        </is>
      </c>
      <c r="C25" t="inlineStr">
        <is>
          <t>Customers who call the same evening (AS-IS)</t>
        </is>
      </c>
      <c r="D25" s="4" t="n">
        <v>0.4</v>
      </c>
      <c r="E25" t="n">
        <v>0.25</v>
      </c>
      <c r="F25" t="n">
        <v>0.55</v>
      </c>
      <c r="G25" t="inlineStr">
        <is>
          <t>share</t>
        </is>
      </c>
      <c r="H25" t="inlineStr">
        <is>
          <t>Customer service</t>
        </is>
      </c>
      <c r="I25" t="inlineStr">
        <is>
          <t>The rest call when the office opens.</t>
        </is>
      </c>
    </row>
    <row r="26">
      <c r="A26" t="inlineStr">
        <is>
          <t>A-25</t>
        </is>
      </c>
      <c r="B26" t="inlineStr">
        <is>
          <t>callDelayMeanMin</t>
        </is>
      </c>
      <c r="C26" t="inlineStr">
        <is>
          <t>Mean delay before a customer's first call</t>
        </is>
      </c>
      <c r="D26" s="4" t="n">
        <v>60</v>
      </c>
      <c r="E26" t="n">
        <v>30</v>
      </c>
      <c r="F26" t="n">
        <v>90</v>
      </c>
      <c r="G26" t="inlineStr">
        <is>
          <t>minutes</t>
        </is>
      </c>
      <c r="H26" t="inlineStr">
        <is>
          <t>Customer service</t>
        </is>
      </c>
      <c r="I26" t="inlineStr">
        <is>
          <t>Customers hear about it from the driver, the website or the terminal.</t>
        </is>
      </c>
    </row>
    <row r="27">
      <c r="A27" t="inlineStr">
        <is>
          <t>A-26</t>
        </is>
      </c>
      <c r="B27" t="inlineStr">
        <is>
          <t>amStartMin</t>
        </is>
      </c>
      <c r="C27" t="inlineStr">
        <is>
          <t>Account managers start rebooking key accounts (minutes after Friday 00:00)</t>
        </is>
      </c>
      <c r="D27" s="4" t="n">
        <v>450</v>
      </c>
      <c r="E27" t="n">
        <v>420</v>
      </c>
      <c r="F27" t="n">
        <v>510</v>
      </c>
      <c r="G27" t="inlineStr">
        <is>
          <t>minutes</t>
        </is>
      </c>
      <c r="H27" t="inlineStr">
        <is>
          <t>Customer service</t>
        </is>
      </c>
      <c r="I27" t="inlineStr">
        <is>
          <t>07:30 Friday; they are not on call at night.</t>
        </is>
      </c>
    </row>
    <row r="28">
      <c r="A28" t="inlineStr">
        <is>
          <t>A-27</t>
        </is>
      </c>
      <c r="B28" t="inlineStr">
        <is>
          <t>accountManagers</t>
        </is>
      </c>
      <c r="C28" t="inlineStr">
        <is>
          <t>Account managers rebooking key accounts</t>
        </is>
      </c>
      <c r="D28" s="4" t="n">
        <v>2</v>
      </c>
      <c r="E28" t="n">
        <v>1</v>
      </c>
      <c r="F28" t="n">
        <v>3</v>
      </c>
      <c r="G28" t="inlineStr">
        <is>
          <t>people</t>
        </is>
      </c>
      <c r="H28" t="inlineStr">
        <is>
          <t>Customer service</t>
        </is>
      </c>
      <c r="I28" t="inlineStr">
        <is>
          <t>Two cover the contract customers.</t>
        </is>
      </c>
    </row>
    <row r="29">
      <c r="A29" t="inlineStr">
        <is>
          <t>A-28</t>
        </is>
      </c>
      <c r="B29" t="inlineStr">
        <is>
          <t>amPerCustomerMin</t>
        </is>
      </c>
      <c r="C29" t="inlineStr">
        <is>
          <t>Account manager time per key account, fixed part</t>
        </is>
      </c>
      <c r="D29" s="4" t="n">
        <v>8</v>
      </c>
      <c r="E29" t="n">
        <v>5</v>
      </c>
      <c r="F29" t="n">
        <v>12</v>
      </c>
      <c r="G29" t="inlineStr">
        <is>
          <t>minutes</t>
        </is>
      </c>
      <c r="H29" t="inlineStr">
        <is>
          <t>Customer service</t>
        </is>
      </c>
      <c r="I29" t="inlineStr">
        <is>
          <t>Call the customer, agree the order, book.</t>
        </is>
      </c>
    </row>
    <row r="30">
      <c r="A30" t="inlineStr">
        <is>
          <t>A-29</t>
        </is>
      </c>
      <c r="B30" t="inlineStr">
        <is>
          <t>planBuildMin</t>
        </is>
      </c>
      <c r="C30" t="inlineStr">
        <is>
          <t>TO-BE: minutes from cancellation to a proposed recovery plan</t>
        </is>
      </c>
      <c r="D30" s="4" t="n">
        <v>20</v>
      </c>
      <c r="E30" t="n">
        <v>10</v>
      </c>
      <c r="F30" t="n">
        <v>40</v>
      </c>
      <c r="G30" t="inlineStr">
        <is>
          <t>minutes</t>
        </is>
      </c>
      <c r="H30" t="inlineStr">
        <is>
          <t>TO-BE</t>
        </is>
      </c>
      <c r="I30" t="inlineStr">
        <is>
          <t>Unit list from the booking system plus allocation run.</t>
        </is>
      </c>
    </row>
    <row r="31">
      <c r="A31" t="inlineStr">
        <is>
          <t>A-30</t>
        </is>
      </c>
      <c r="B31" t="inlineStr">
        <is>
          <t>approvalMin</t>
        </is>
      </c>
      <c r="C31" t="inlineStr">
        <is>
          <t>TO-BE: minutes the duty manager needs to review and approve</t>
        </is>
      </c>
      <c r="D31" s="4" t="n">
        <v>30</v>
      </c>
      <c r="E31" t="n">
        <v>15</v>
      </c>
      <c r="F31" t="n">
        <v>60</v>
      </c>
      <c r="G31" t="inlineStr">
        <is>
          <t>minutes</t>
        </is>
      </c>
      <c r="H31" t="inlineStr">
        <is>
          <t>TO-BE</t>
        </is>
      </c>
      <c r="I31" t="inlineStr">
        <is>
          <t>Review classes, overrides, sign off.</t>
        </is>
      </c>
    </row>
    <row r="32">
      <c r="A32" t="inlineStr">
        <is>
          <t>A-31</t>
        </is>
      </c>
      <c r="B32" t="inlineStr">
        <is>
          <t>replanEveryMin</t>
        </is>
      </c>
      <c r="C32" t="inlineStr">
        <is>
          <t>TO-BE: replan round interval</t>
        </is>
      </c>
      <c r="D32" s="4" t="n">
        <v>60</v>
      </c>
      <c r="E32" t="n">
        <v>30</v>
      </c>
      <c r="F32" t="n">
        <v>120</v>
      </c>
      <c r="G32" t="inlineStr">
        <is>
          <t>minutes</t>
        </is>
      </c>
      <c r="H32" t="inlineStr">
        <is>
          <t>TO-BE</t>
        </is>
      </c>
      <c r="I32" t="inlineStr">
        <is>
          <t>Picks up customs releases and late changes.</t>
        </is>
      </c>
    </row>
    <row r="33">
      <c r="A33" t="inlineStr">
        <is>
          <t>A-32</t>
        </is>
      </c>
      <c r="B33" t="inlineStr">
        <is>
          <t>tobeCallShare</t>
        </is>
      </c>
      <c r="C33" t="inlineStr">
        <is>
          <t>TO-BE: customers who still call after the message</t>
        </is>
      </c>
      <c r="D33" s="4" t="n">
        <v>0.18</v>
      </c>
      <c r="E33" t="n">
        <v>0.1</v>
      </c>
      <c r="F33" t="n">
        <v>0.35</v>
      </c>
      <c r="G33" t="inlineStr">
        <is>
          <t>share</t>
        </is>
      </c>
      <c r="H33" t="inlineStr">
        <is>
          <t>TO-BE</t>
        </is>
      </c>
      <c r="I33" t="inlineStr">
        <is>
          <t>Questions about the new sailing, not rebooking.</t>
        </is>
      </c>
    </row>
    <row r="34">
      <c r="A34" t="inlineStr">
        <is>
          <t>A-33</t>
        </is>
      </c>
      <c r="B34" t="inlineStr">
        <is>
          <t>tobeHandleMin</t>
        </is>
      </c>
      <c r="C34" t="inlineStr">
        <is>
          <t>TO-BE: handling time of such a call</t>
        </is>
      </c>
      <c r="D34" s="4" t="n">
        <v>4</v>
      </c>
      <c r="E34" t="n">
        <v>3</v>
      </c>
      <c r="F34" t="n">
        <v>6</v>
      </c>
      <c r="G34" t="inlineStr">
        <is>
          <t>minutes</t>
        </is>
      </c>
      <c r="H34" t="inlineStr">
        <is>
          <t>TO-BE</t>
        </is>
      </c>
      <c r="I34" t="inlineStr">
        <is>
          <t>The agent sees the plan and the reason per unit.</t>
        </is>
      </c>
    </row>
    <row r="35">
      <c r="A35" t="inlineStr">
        <is>
          <t>A-34</t>
        </is>
      </c>
      <c r="B35" t="inlineStr">
        <is>
          <t>holdAtOriginShare</t>
        </is>
      </c>
      <c r="C35" t="inlineStr">
        <is>
          <t>TO-BE: units not yet at the terminal that hold at origin when asked</t>
        </is>
      </c>
      <c r="D35" s="4" t="n">
        <v>0.6</v>
      </c>
      <c r="E35" t="n">
        <v>0.4</v>
      </c>
      <c r="F35" t="n">
        <v>0.8</v>
      </c>
      <c r="G35" t="inlineStr">
        <is>
          <t>share</t>
        </is>
      </c>
      <c r="H35" t="inlineStr">
        <is>
          <t>TO-BE</t>
        </is>
      </c>
      <c r="I35" t="inlineStr">
        <is>
          <t>Hauliers follow a concrete new slot; some are already on the road.</t>
        </is>
      </c>
    </row>
    <row r="36">
      <c r="A36" t="inlineStr">
        <is>
          <t>A-35</t>
        </is>
      </c>
      <c r="B36" t="inlineStr">
        <is>
          <t>withdrawAfterH</t>
        </is>
      </c>
      <c r="C36" t="inlineStr">
        <is>
          <t>Customers without a confirmed sailing after this many hours start sending units elsewhere</t>
        </is>
      </c>
      <c r="D36" s="4" t="n">
        <v>8</v>
      </c>
      <c r="E36" t="n">
        <v>6</v>
      </c>
      <c r="F36" t="n">
        <v>12</v>
      </c>
      <c r="G36" t="inlineStr">
        <is>
          <t>hours</t>
        </is>
      </c>
      <c r="H36" t="inlineStr">
        <is>
          <t>Commercial</t>
        </is>
      </c>
      <c r="I36" t="inlineStr">
        <is>
          <t>Competing route or tunnel becomes the safer bet.</t>
        </is>
      </c>
    </row>
    <row r="37">
      <c r="A37" t="inlineStr">
        <is>
          <t>A-36</t>
        </is>
      </c>
      <c r="B37" t="inlineStr">
        <is>
          <t>withdrawProb</t>
        </is>
      </c>
      <c r="C37" t="inlineStr">
        <is>
          <t>Chance that such a unit is withdrawn</t>
        </is>
      </c>
      <c r="D37" s="4" t="n">
        <v>0.06</v>
      </c>
      <c r="E37" t="n">
        <v>0.03</v>
      </c>
      <c r="F37" t="n">
        <v>0.12</v>
      </c>
      <c r="G37" t="inlineStr">
        <is>
          <t>share</t>
        </is>
      </c>
      <c r="H37" t="inlineStr">
        <is>
          <t>Commercial</t>
        </is>
      </c>
      <c r="I37" t="inlineStr">
        <is>
          <t>Most customers wait; some cannot.</t>
        </is>
      </c>
    </row>
    <row r="38">
      <c r="A38" t="inlineStr">
        <is>
          <t>A-37</t>
        </is>
      </c>
      <c r="B38" t="inlineStr">
        <is>
          <t>perishableLateCost</t>
        </is>
      </c>
      <c r="C38" t="inlineStr">
        <is>
          <t>Average commercial cost of a perishable unit that sails after its deadline</t>
        </is>
      </c>
      <c r="D38" s="4" t="n">
        <v>2500</v>
      </c>
      <c r="E38" t="n">
        <v>1000</v>
      </c>
      <c r="F38" t="n">
        <v>5000</v>
      </c>
      <c r="G38" t="inlineStr">
        <is>
          <t>EUR</t>
        </is>
      </c>
      <c r="H38" t="inlineStr">
        <is>
          <t>Commercial</t>
        </is>
      </c>
      <c r="I38" t="inlineStr">
        <is>
          <t>Weather is force majeure, so most claims are rejected; this is the goodwill credit actually paid on average.</t>
        </is>
      </c>
    </row>
    <row r="39">
      <c r="A39" t="inlineStr">
        <is>
          <t>A-38</t>
        </is>
      </c>
      <c r="B39" t="inlineStr">
        <is>
          <t>agentCostPerHour</t>
        </is>
      </c>
      <c r="C39" t="inlineStr">
        <is>
          <t>Loaded cost of a customer service hour</t>
        </is>
      </c>
      <c r="D39" s="4" t="n">
        <v>54</v>
      </c>
      <c r="E39" t="n">
        <v>45</v>
      </c>
      <c r="F39" t="n">
        <v>70</v>
      </c>
      <c r="G39" t="inlineStr">
        <is>
          <t>EUR/hour</t>
        </is>
      </c>
      <c r="H39" t="inlineStr">
        <is>
          <t>Commercial</t>
        </is>
      </c>
      <c r="I39" t="inlineStr">
        <is>
          <t>Salary, night premium and overhead.</t>
        </is>
      </c>
    </row>
    <row r="40">
      <c r="A40" t="inlineStr">
        <is>
          <t>A-39</t>
        </is>
      </c>
      <c r="B40" t="inlineStr">
        <is>
          <t>marginPerUnit</t>
        </is>
      </c>
      <c r="C40" t="inlineStr">
        <is>
          <t>Contribution margin lost per withdrawn unit</t>
        </is>
      </c>
      <c r="D40" s="4" t="n">
        <v>420</v>
      </c>
      <c r="E40" t="n">
        <v>300</v>
      </c>
      <c r="F40" t="n">
        <v>600</v>
      </c>
      <c r="G40" t="inlineStr">
        <is>
          <t>EUR</t>
        </is>
      </c>
      <c r="H40" t="inlineStr">
        <is>
          <t>Commercial</t>
        </is>
      </c>
      <c r="I40" t="inlineStr">
        <is>
          <t>Single crossing; repeat business not counted.</t>
        </is>
      </c>
    </row>
    <row r="41">
      <c r="A41" t="inlineStr">
        <is>
          <t>A-40</t>
        </is>
      </c>
      <c r="B41" t="inlineStr">
        <is>
          <t>eventsPerYear</t>
        </is>
      </c>
      <c r="C41" t="inlineStr">
        <is>
          <t>Disruption events per year with two or more cancelled sailings</t>
        </is>
      </c>
      <c r="D41" s="4" t="n">
        <v>6</v>
      </c>
      <c r="E41" t="n">
        <v>3</v>
      </c>
      <c r="F41" t="n">
        <v>10</v>
      </c>
      <c r="G41" t="inlineStr">
        <is>
          <t>events</t>
        </is>
      </c>
      <c r="H41" t="inlineStr">
        <is>
          <t>Business case</t>
        </is>
      </c>
      <c r="I41" t="inlineStr">
        <is>
          <t>Winter storms plus strikes and technical failures. The riskiest assumption.</t>
        </is>
      </c>
    </row>
    <row r="42">
      <c r="A42" t="inlineStr">
        <is>
          <t>A-41</t>
        </is>
      </c>
      <c r="B42" t="inlineStr">
        <is>
          <t>buildCost</t>
        </is>
      </c>
      <c r="C42" t="inlineStr">
        <is>
          <t>One-off cost: two releases, integration, training</t>
        </is>
      </c>
      <c r="D42" s="4" t="n">
        <v>280000</v>
      </c>
      <c r="E42" t="n">
        <v>220000</v>
      </c>
      <c r="F42" t="n">
        <v>380000</v>
      </c>
      <c r="G42" t="inlineStr">
        <is>
          <t>EUR</t>
        </is>
      </c>
      <c r="H42" t="inlineStr">
        <is>
          <t>Business case</t>
        </is>
      </c>
      <c r="I42" t="inlineStr">
        <is>
          <t>Two quarters of a team of five plus supplier changes.</t>
        </is>
      </c>
    </row>
    <row r="43">
      <c r="A43" t="inlineStr">
        <is>
          <t>A-42</t>
        </is>
      </c>
      <c r="B43" t="inlineStr">
        <is>
          <t>runCost</t>
        </is>
      </c>
      <c r="C43" t="inlineStr">
        <is>
          <t>Yearly run cost: licences, support, policy upkeep</t>
        </is>
      </c>
      <c r="D43" s="4" t="n">
        <v>40000</v>
      </c>
      <c r="E43" t="n">
        <v>30000</v>
      </c>
      <c r="F43" t="n">
        <v>60000</v>
      </c>
      <c r="G43" t="inlineStr">
        <is>
          <t>EUR/year</t>
        </is>
      </c>
      <c r="H43" t="inlineStr">
        <is>
          <t>Business case</t>
        </is>
      </c>
      <c r="I43" t="inlineStr">
        <is>
          <t>Includes one storm drill per year.</t>
        </is>
      </c>
    </row>
    <row r="44">
      <c r="A44" t="inlineStr">
        <is>
          <t>A-43</t>
        </is>
      </c>
      <c r="B44" t="inlineStr">
        <is>
          <t>discountRate</t>
        </is>
      </c>
      <c r="C44" t="inlineStr">
        <is>
          <t>Discount rate</t>
        </is>
      </c>
      <c r="D44" s="4" t="n">
        <v>0.08</v>
      </c>
      <c r="E44" t="n">
        <v>0.06</v>
      </c>
      <c r="F44" t="n">
        <v>0.1</v>
      </c>
      <c r="G44" t="inlineStr">
        <is>
          <t>share</t>
        </is>
      </c>
      <c r="H44" t="inlineStr">
        <is>
          <t>Business case</t>
        </is>
      </c>
      <c r="I44" t="inlineStr">
        <is>
          <t>Finance standard for IT investments.</t>
        </is>
      </c>
    </row>
    <row r="45">
      <c r="A45" t="inlineStr">
        <is>
          <t>A-44</t>
        </is>
      </c>
      <c r="B45" t="inlineStr">
        <is>
          <t>years</t>
        </is>
      </c>
      <c r="C45" t="inlineStr">
        <is>
          <t>Evaluation period</t>
        </is>
      </c>
      <c r="D45" s="4" t="n">
        <v>5</v>
      </c>
      <c r="E45" t="n">
        <v>3</v>
      </c>
      <c r="F45" t="n">
        <v>5</v>
      </c>
      <c r="G45" t="inlineStr">
        <is>
          <t>years</t>
        </is>
      </c>
      <c r="H45" t="inlineStr">
        <is>
          <t>Business case</t>
        </is>
      </c>
      <c r="I45" t="inlineStr">
        <is>
          <t>Booking platform horizon.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7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KPI</t>
        </is>
      </c>
      <c r="B1" s="3" t="inlineStr">
        <is>
          <t>AS-IS P10</t>
        </is>
      </c>
      <c r="C1" s="3" t="inlineStr">
        <is>
          <t>AS-IS P50</t>
        </is>
      </c>
      <c r="D1" s="3" t="inlineStr">
        <is>
          <t>AS-IS P90</t>
        </is>
      </c>
      <c r="E1" s="3" t="inlineStr">
        <is>
          <t>TO-BE P10</t>
        </is>
      </c>
      <c r="F1" s="3" t="inlineStr">
        <is>
          <t>TO-BE P50</t>
        </is>
      </c>
      <c r="G1" s="3" t="inlineStr">
        <is>
          <t>TO-BE P90</t>
        </is>
      </c>
    </row>
    <row r="2">
      <c r="A2" t="inlineStr">
        <is>
          <t>Hours until half of the stranded units have a confirmed sailing</t>
        </is>
      </c>
      <c r="B2" t="n">
        <v>3.1</v>
      </c>
      <c r="C2" t="n">
        <v>15.7</v>
      </c>
      <c r="D2" t="n">
        <v>16.1</v>
      </c>
      <c r="E2" t="n">
        <v>0.8</v>
      </c>
      <c r="F2" t="n">
        <v>0.8</v>
      </c>
      <c r="G2" t="n">
        <v>0.8</v>
      </c>
    </row>
    <row r="3">
      <c r="A3" t="inlineStr">
        <is>
          <t>Hours until 90% of the stranded units have a confirmed sailing</t>
        </is>
      </c>
      <c r="B3" t="n">
        <v>16.6</v>
      </c>
      <c r="C3" t="n">
        <v>17.1</v>
      </c>
      <c r="D3" t="n">
        <v>18</v>
      </c>
      <c r="E3" t="n">
        <v>0.8</v>
      </c>
      <c r="F3" t="n">
        <v>0.8</v>
      </c>
      <c r="G3" t="n">
        <v>0.8</v>
      </c>
    </row>
    <row r="4">
      <c r="A4" t="inlineStr">
        <is>
          <t>Hours until half of the contract customers' units have a confirmed sailing</t>
        </is>
      </c>
      <c r="B4" t="n">
        <v>2.5</v>
      </c>
      <c r="C4" t="n">
        <v>16</v>
      </c>
      <c r="D4" t="n">
        <v>16.3</v>
      </c>
      <c r="E4" t="n">
        <v>0.8</v>
      </c>
      <c r="F4" t="n">
        <v>0.8</v>
      </c>
      <c r="G4" t="n">
        <v>0.8</v>
      </c>
    </row>
    <row r="5">
      <c r="A5" t="inlineStr">
        <is>
          <t>Perishable units sailing after their deadline</t>
        </is>
      </c>
      <c r="B5" t="n">
        <v>14</v>
      </c>
      <c r="C5" t="n">
        <v>21</v>
      </c>
      <c r="D5" t="n">
        <v>27</v>
      </c>
      <c r="E5" t="n">
        <v>6</v>
      </c>
      <c r="F5" t="n">
        <v>10</v>
      </c>
      <c r="G5" t="n">
        <v>13</v>
      </c>
    </row>
    <row r="6">
      <c r="A6" t="inlineStr">
        <is>
          <t>Average delay, contract customers (hours)</t>
        </is>
      </c>
      <c r="B6" t="n">
        <v>17</v>
      </c>
      <c r="C6" t="n">
        <v>19.3</v>
      </c>
      <c r="D6" t="n">
        <v>22</v>
      </c>
      <c r="E6" t="n">
        <v>19.2</v>
      </c>
      <c r="F6" t="n">
        <v>19.8</v>
      </c>
      <c r="G6" t="n">
        <v>20.3</v>
      </c>
    </row>
    <row r="7">
      <c r="A7" t="inlineStr">
        <is>
          <t>Average delay, other customers (hours)</t>
        </is>
      </c>
      <c r="B7" t="n">
        <v>16.6</v>
      </c>
      <c r="C7" t="n">
        <v>18.8</v>
      </c>
      <c r="D7" t="n">
        <v>20.8</v>
      </c>
      <c r="E7" t="n">
        <v>19.7</v>
      </c>
      <c r="F7" t="n">
        <v>20.2</v>
      </c>
      <c r="G7" t="n">
        <v>20.8</v>
      </c>
    </row>
    <row r="8">
      <c r="A8" t="inlineStr">
        <is>
          <t>95th percentile delay, other customers (hours)</t>
        </is>
      </c>
      <c r="B8" t="n">
        <v>30</v>
      </c>
      <c r="C8" t="n">
        <v>34</v>
      </c>
      <c r="D8" t="n">
        <v>34</v>
      </c>
      <c r="E8" t="n">
        <v>30</v>
      </c>
      <c r="F8" t="n">
        <v>30</v>
      </c>
      <c r="G8" t="n">
        <v>30</v>
      </c>
    </row>
    <row r="9">
      <c r="A9" t="inlineStr">
        <is>
          <t>Hours drivers of accompanied units wait at the terminal</t>
        </is>
      </c>
      <c r="B9" t="n">
        <v>3010</v>
      </c>
      <c r="C9" t="n">
        <v>3361</v>
      </c>
      <c r="D9" t="n">
        <v>3708</v>
      </c>
      <c r="E9" t="n">
        <v>1651</v>
      </c>
      <c r="F9" t="n">
        <v>1841</v>
      </c>
      <c r="G9" t="n">
        <v>2048</v>
      </c>
    </row>
    <row r="10">
      <c r="A10" t="inlineStr">
        <is>
          <t>Peak stranded units in the yard</t>
        </is>
      </c>
      <c r="B10" t="n">
        <v>817</v>
      </c>
      <c r="C10" t="n">
        <v>838</v>
      </c>
      <c r="D10" t="n">
        <v>862</v>
      </c>
      <c r="E10" t="n">
        <v>618</v>
      </c>
      <c r="F10" t="n">
        <v>636</v>
      </c>
      <c r="G10" t="n">
        <v>662</v>
      </c>
    </row>
    <row r="11">
      <c r="A11" t="inlineStr">
        <is>
          <t>Hours the yard is over capacity</t>
        </is>
      </c>
      <c r="B11" t="n">
        <v>12.3</v>
      </c>
      <c r="C11" t="n">
        <v>12.7</v>
      </c>
      <c r="D11" t="n">
        <v>13</v>
      </c>
      <c r="E11" t="n">
        <v>0</v>
      </c>
      <c r="F11" t="n">
        <v>0</v>
      </c>
      <c r="G11" t="n">
        <v>1</v>
      </c>
    </row>
    <row r="12">
      <c r="A12" t="inlineStr">
        <is>
          <t>Calls offered to customer service</t>
        </is>
      </c>
      <c r="B12" t="n">
        <v>104</v>
      </c>
      <c r="C12" t="n">
        <v>116</v>
      </c>
      <c r="D12" t="n">
        <v>128</v>
      </c>
      <c r="E12" t="n">
        <v>15</v>
      </c>
      <c r="F12" t="n">
        <v>20</v>
      </c>
      <c r="G12" t="n">
        <v>25</v>
      </c>
    </row>
    <row r="13">
      <c r="A13" t="inlineStr">
        <is>
          <t>Calls abandoned</t>
        </is>
      </c>
      <c r="B13" t="n">
        <v>4</v>
      </c>
      <c r="C13" t="n">
        <v>12</v>
      </c>
      <c r="D13" t="n">
        <v>23</v>
      </c>
      <c r="E13" t="n">
        <v>0</v>
      </c>
      <c r="F13" t="n">
        <v>0</v>
      </c>
      <c r="G13" t="n">
        <v>0</v>
      </c>
    </row>
    <row r="14">
      <c r="A14" t="inlineStr">
        <is>
          <t>Units bumped at the load-planning cut-off</t>
        </is>
      </c>
      <c r="B14" t="n">
        <v>10</v>
      </c>
      <c r="C14" t="n">
        <v>15</v>
      </c>
      <c r="D14" t="n">
        <v>23</v>
      </c>
      <c r="E14" t="n">
        <v>0</v>
      </c>
      <c r="F14" t="n">
        <v>0</v>
      </c>
      <c r="G14" t="n">
        <v>0</v>
      </c>
    </row>
    <row r="15">
      <c r="A15" t="inlineStr">
        <is>
          <t>Lane metres sailed empty while usable units waited in the yard</t>
        </is>
      </c>
      <c r="B15" t="n">
        <v>221</v>
      </c>
      <c r="C15" t="n">
        <v>304</v>
      </c>
      <c r="D15" t="n">
        <v>430</v>
      </c>
      <c r="E15" t="n">
        <v>42</v>
      </c>
      <c r="F15" t="n">
        <v>50</v>
      </c>
      <c r="G15" t="n">
        <v>57</v>
      </c>
    </row>
    <row r="16">
      <c r="A16" t="inlineStr">
        <is>
          <t>Units withdrawn by customers</t>
        </is>
      </c>
      <c r="B16" t="n">
        <v>35</v>
      </c>
      <c r="C16" t="n">
        <v>54</v>
      </c>
      <c r="D16" t="n">
        <v>69</v>
      </c>
      <c r="E16" t="n">
        <v>0</v>
      </c>
      <c r="F16" t="n">
        <v>1</v>
      </c>
      <c r="G1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22" customWidth="1" min="3" max="3"/>
  </cols>
  <sheetData>
    <row r="1">
      <c r="A1" s="3" t="inlineStr">
        <is>
          <t>Line</t>
        </is>
      </c>
      <c r="B1" s="3" t="inlineStr">
        <is>
          <t>Value</t>
        </is>
      </c>
      <c r="C1" s="3" t="inlineStr">
        <is>
          <t>Source</t>
        </is>
      </c>
    </row>
    <row r="2">
      <c r="A2" t="inlineStr">
        <is>
          <t>Median saving per event: perishables (at base goodwill)</t>
        </is>
      </c>
      <c r="B2" s="5" t="n">
        <v>27500</v>
      </c>
      <c r="C2" t="inlineStr">
        <is>
          <t>input from simulation</t>
        </is>
      </c>
    </row>
    <row r="3">
      <c r="A3" t="inlineStr">
        <is>
          <t>Median saving per event: withdrawn units (at base margin)</t>
        </is>
      </c>
      <c r="B3" s="5" t="n">
        <v>22260</v>
      </c>
      <c r="C3" t="inlineStr">
        <is>
          <t>input from simulation</t>
        </is>
      </c>
    </row>
    <row r="4">
      <c r="A4" t="inlineStr">
        <is>
          <t>Median saving per event: call handling</t>
        </is>
      </c>
      <c r="B4" s="5" t="n">
        <v>830</v>
      </c>
      <c r="C4" t="inlineStr">
        <is>
          <t>input from simulation</t>
        </is>
      </c>
    </row>
    <row r="5">
      <c r="A5" t="inlineStr">
        <is>
          <t>Perishable saving rescaled to goodwill in Assumptions</t>
        </is>
      </c>
      <c r="B5" s="5">
        <f>B2/2500*Assumptions!$D$38</f>
        <v/>
      </c>
      <c r="C5" t="inlineStr">
        <is>
          <t>formula</t>
        </is>
      </c>
    </row>
    <row r="6">
      <c r="A6" t="inlineStr">
        <is>
          <t>Withdrawn saving rescaled to margin in Assumptions</t>
        </is>
      </c>
      <c r="B6" s="5">
        <f>B3/420*Assumptions!$D$40</f>
        <v/>
      </c>
      <c r="C6" t="inlineStr">
        <is>
          <t>formula</t>
        </is>
      </c>
    </row>
    <row r="7">
      <c r="A7" t="inlineStr">
        <is>
          <t>Saving per event</t>
        </is>
      </c>
      <c r="B7" s="5">
        <f>B5+B6+B4</f>
        <v/>
      </c>
      <c r="C7" t="inlineStr">
        <is>
          <t>formula</t>
        </is>
      </c>
    </row>
    <row r="8">
      <c r="A8" t="inlineStr">
        <is>
          <t>Events per year</t>
        </is>
      </c>
      <c r="B8" s="5">
        <f>Assumptions!$D$41</f>
        <v/>
      </c>
      <c r="C8" t="inlineStr">
        <is>
          <t>A-40</t>
        </is>
      </c>
    </row>
    <row r="9">
      <c r="A9" t="inlineStr">
        <is>
          <t>Saving per year</t>
        </is>
      </c>
      <c r="B9" s="5">
        <f>B7*B8</f>
        <v/>
      </c>
      <c r="C9" t="inlineStr">
        <is>
          <t>formula</t>
        </is>
      </c>
    </row>
    <row r="10">
      <c r="A10" t="inlineStr">
        <is>
          <t>Run cost per year</t>
        </is>
      </c>
      <c r="B10" s="5">
        <f>Assumptions!$D$43</f>
        <v/>
      </c>
      <c r="C10" t="inlineStr">
        <is>
          <t>A-42</t>
        </is>
      </c>
    </row>
    <row r="11">
      <c r="A11" t="inlineStr">
        <is>
          <t>Net benefit per year</t>
        </is>
      </c>
      <c r="B11" s="5">
        <f>B9-B10</f>
        <v/>
      </c>
      <c r="C11" t="inlineStr">
        <is>
          <t>formula</t>
        </is>
      </c>
    </row>
    <row r="12">
      <c r="A12" t="inlineStr">
        <is>
          <t>Build cost</t>
        </is>
      </c>
      <c r="B12" s="5">
        <f>Assumptions!$D$42</f>
        <v/>
      </c>
      <c r="C12" t="inlineStr">
        <is>
          <t>A-41</t>
        </is>
      </c>
    </row>
    <row r="13">
      <c r="A13" t="inlineStr">
        <is>
          <t>Discount rate</t>
        </is>
      </c>
      <c r="B13" s="6">
        <f>Assumptions!$D$44</f>
        <v/>
      </c>
      <c r="C13" t="inlineStr">
        <is>
          <t>A-43</t>
        </is>
      </c>
    </row>
    <row r="14">
      <c r="A14" t="inlineStr">
        <is>
          <t>Years</t>
        </is>
      </c>
      <c r="B14" s="5">
        <f>Assumptions!$D$45</f>
        <v/>
      </c>
      <c r="C14" t="inlineStr">
        <is>
          <t>A-44</t>
        </is>
      </c>
    </row>
    <row r="15">
      <c r="A15" t="inlineStr">
        <is>
          <t>NPV</t>
        </is>
      </c>
      <c r="B15" s="5">
        <f>-B12+B11*(1-(1+B13)^(-B14))/B13</f>
        <v/>
      </c>
      <c r="C15" t="inlineStr">
        <is>
          <t>formula</t>
        </is>
      </c>
    </row>
    <row r="16">
      <c r="A16" t="inlineStr">
        <is>
          <t>Payback (months)</t>
        </is>
      </c>
      <c r="B16" s="5">
        <f>IF(B11&gt;0,B12/B11*12,"never")</f>
        <v/>
      </c>
      <c r="C16" t="inlineStr">
        <is>
          <t>formula</t>
        </is>
      </c>
    </row>
    <row r="17">
      <c r="A17" t="inlineStr">
        <is>
          <t>Simulated NPV P10 / P50 / P90 (200 nights)</t>
        </is>
      </c>
      <c r="B17" s="5" t="inlineStr">
        <is>
          <t>382419 / 762633 / 1086303</t>
        </is>
      </c>
      <c r="C17" t="inlineStr">
        <is>
          <t>from build-results</t>
        </is>
      </c>
    </row>
    <row r="18">
      <c r="A18" t="inlineStr">
        <is>
          <t>Chance of negative NPV, all assumptions uncertain</t>
        </is>
      </c>
      <c r="B18" s="7" t="n">
        <v>0.065</v>
      </c>
      <c r="C18" t="inlineStr">
        <is>
          <t>from build-results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3" t="inlineStr">
        <is>
          <t>Policy</t>
        </is>
      </c>
      <c r="B1" s="8" t="inlineStr">
        <is>
          <t>Perishable units sailing after their deadline</t>
        </is>
      </c>
      <c r="C1" s="8" t="inlineStr">
        <is>
          <t>Average delay, contract customers (hours)</t>
        </is>
      </c>
      <c r="D1" s="8" t="inlineStr">
        <is>
          <t>Average delay, other customers (hours)</t>
        </is>
      </c>
      <c r="E1" s="8" t="inlineStr">
        <is>
          <t>Hours drivers of accompanied units wait at the terminal</t>
        </is>
      </c>
      <c r="F1" s="8" t="inlineStr">
        <is>
          <t>Lane metres sailed empty while usable units waited in the yard</t>
        </is>
      </c>
    </row>
    <row r="2">
      <c r="A2" t="inlineStr">
        <is>
          <t>AS-IS (phones)</t>
        </is>
      </c>
      <c r="B2" t="n">
        <v>21</v>
      </c>
      <c r="C2" t="n">
        <v>19.3</v>
      </c>
      <c r="D2" t="n">
        <v>18.8</v>
      </c>
      <c r="E2" t="n">
        <v>3361</v>
      </c>
      <c r="F2" t="n">
        <v>304</v>
      </c>
    </row>
    <row r="3">
      <c r="A3" t="inlineStr">
        <is>
          <t>First booked, first rebooked</t>
        </is>
      </c>
      <c r="B3" t="n">
        <v>20</v>
      </c>
      <c r="C3" t="n">
        <v>19.6</v>
      </c>
      <c r="D3" t="n">
        <v>19.6</v>
      </c>
      <c r="E3" t="n">
        <v>2373</v>
      </c>
      <c r="F3" t="n">
        <v>51</v>
      </c>
    </row>
    <row r="4">
      <c r="A4" t="inlineStr">
        <is>
          <t>Key accounts first</t>
        </is>
      </c>
      <c r="B4" t="n">
        <v>23</v>
      </c>
      <c r="C4" t="n">
        <v>12.7</v>
      </c>
      <c r="D4" t="n">
        <v>25.3</v>
      </c>
      <c r="E4" t="n">
        <v>2486</v>
      </c>
      <c r="F4" t="n">
        <v>49</v>
      </c>
    </row>
    <row r="5">
      <c r="A5" t="inlineStr">
        <is>
          <t>Perishables and drivers first</t>
        </is>
      </c>
      <c r="B5" t="n">
        <v>9</v>
      </c>
      <c r="C5" t="n">
        <v>20</v>
      </c>
      <c r="D5" t="n">
        <v>20</v>
      </c>
      <c r="E5" t="n">
        <v>1832</v>
      </c>
      <c r="F5" t="n">
        <v>55</v>
      </c>
    </row>
    <row r="6">
      <c r="A6" t="inlineStr">
        <is>
          <t>Recommended (D-04)</t>
        </is>
      </c>
      <c r="B6" t="n">
        <v>10</v>
      </c>
      <c r="C6" t="n">
        <v>19.8</v>
      </c>
      <c r="D6" t="n">
        <v>20.2</v>
      </c>
      <c r="E6" t="n">
        <v>1841</v>
      </c>
      <c r="F6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10" customWidth="1" min="3" max="3"/>
    <col width="14" customWidth="1" min="4" max="4"/>
    <col width="10" customWidth="1" min="5" max="5"/>
    <col width="14" customWidth="1" min="6" max="6"/>
    <col width="14" customWidth="1" min="7" max="7"/>
  </cols>
  <sheetData>
    <row r="1">
      <c r="A1" s="3" t="inlineStr">
        <is>
          <t>ID</t>
        </is>
      </c>
      <c r="B1" s="3" t="inlineStr">
        <is>
          <t>Assumption</t>
        </is>
      </c>
      <c r="C1" s="3" t="inlineStr">
        <is>
          <t>Low</t>
        </is>
      </c>
      <c r="D1" s="3" t="inlineStr">
        <is>
          <t>NPV at low</t>
        </is>
      </c>
      <c r="E1" s="3" t="inlineStr">
        <is>
          <t>High</t>
        </is>
      </c>
      <c r="F1" s="3" t="inlineStr">
        <is>
          <t>NPV at high</t>
        </is>
      </c>
      <c r="G1" s="3" t="inlineStr">
        <is>
          <t>Swing</t>
        </is>
      </c>
    </row>
    <row r="2">
      <c r="A2" t="inlineStr">
        <is>
          <t>A-40</t>
        </is>
      </c>
      <c r="B2" t="inlineStr">
        <is>
          <t>Disruption events per year with two or more cancelled sailings</t>
        </is>
      </c>
      <c r="C2" t="n">
        <v>3</v>
      </c>
      <c r="D2" t="n">
        <v>183897</v>
      </c>
      <c r="E2" t="n">
        <v>10</v>
      </c>
      <c r="F2" t="n">
        <v>1638975</v>
      </c>
      <c r="G2" t="n">
        <v>1455078</v>
      </c>
    </row>
    <row r="3">
      <c r="A3" t="inlineStr">
        <is>
          <t>A-37</t>
        </is>
      </c>
      <c r="B3" t="inlineStr">
        <is>
          <t>Average commercial cost of a perishable unit that sails after its deadline</t>
        </is>
      </c>
      <c r="C3" t="n">
        <v>1000</v>
      </c>
      <c r="D3" t="n">
        <v>379190</v>
      </c>
      <c r="E3" t="n">
        <v>5000</v>
      </c>
      <c r="F3" t="n">
        <v>1625843</v>
      </c>
      <c r="G3" t="n">
        <v>1246653</v>
      </c>
    </row>
    <row r="4">
      <c r="A4" t="inlineStr">
        <is>
          <t>A-05</t>
        </is>
      </c>
      <c r="B4" t="inlineStr">
        <is>
          <t>Share of perishable reefers whose booking carries a usable commodity code and deadline</t>
        </is>
      </c>
      <c r="C4" t="n">
        <v>0.5</v>
      </c>
      <c r="D4" t="n">
        <v>402406</v>
      </c>
      <c r="E4" t="n">
        <v>0.95</v>
      </c>
      <c r="F4" t="n">
        <v>1091705</v>
      </c>
      <c r="G4" t="n">
        <v>689299</v>
      </c>
    </row>
    <row r="5">
      <c r="A5" t="inlineStr">
        <is>
          <t>A-01</t>
        </is>
      </c>
      <c r="B5" t="inlineStr">
        <is>
          <t>Freight units booked per cancelled sailing</t>
        </is>
      </c>
      <c r="C5" t="n">
        <v>250</v>
      </c>
      <c r="D5" t="n">
        <v>494774</v>
      </c>
      <c r="E5" t="n">
        <v>320</v>
      </c>
      <c r="F5" t="n">
        <v>1119541</v>
      </c>
      <c r="G5" t="n">
        <v>624768</v>
      </c>
    </row>
    <row r="6">
      <c r="A6" t="inlineStr">
        <is>
          <t>A-04</t>
        </is>
      </c>
      <c r="B6" t="inlineStr">
        <is>
          <t>Share of reefers with a delivery deadline that matters (fresh produce, flowers)</t>
        </is>
      </c>
      <c r="C6" t="n">
        <v>0.5</v>
      </c>
      <c r="D6" t="n">
        <v>497822</v>
      </c>
      <c r="E6" t="n">
        <v>0.85</v>
      </c>
      <c r="F6" t="n">
        <v>1001889</v>
      </c>
      <c r="G6" t="n">
        <v>504066</v>
      </c>
    </row>
    <row r="7">
      <c r="A7" t="inlineStr">
        <is>
          <t>A-07</t>
        </is>
      </c>
      <c r="B7" t="inlineStr">
        <is>
          <t>Perishable deadline: latest, hours after the original departure</t>
        </is>
      </c>
      <c r="C7" t="n">
        <v>28</v>
      </c>
      <c r="D7" t="n">
        <v>1042014</v>
      </c>
      <c r="E7" t="n">
        <v>40</v>
      </c>
      <c r="F7" t="n">
        <v>632596</v>
      </c>
      <c r="G7" t="n">
        <v>409418</v>
      </c>
    </row>
    <row r="8">
      <c r="A8" t="inlineStr">
        <is>
          <t>A-44</t>
        </is>
      </c>
      <c r="B8" t="inlineStr">
        <is>
          <t>Evaluation period</t>
        </is>
      </c>
      <c r="C8" t="n">
        <v>3</v>
      </c>
      <c r="D8" t="n">
        <v>421929</v>
      </c>
      <c r="E8" t="n">
        <v>5</v>
      </c>
      <c r="F8" t="n">
        <v>807502</v>
      </c>
      <c r="G8" t="n">
        <v>385573</v>
      </c>
    </row>
    <row r="9">
      <c r="A9" t="inlineStr">
        <is>
          <t>A-36</t>
        </is>
      </c>
      <c r="B9" t="inlineStr">
        <is>
          <t>Chance that such a unit is withdrawn</t>
        </is>
      </c>
      <c r="C9" t="n">
        <v>0.03</v>
      </c>
      <c r="D9" t="n">
        <v>679020</v>
      </c>
      <c r="E9" t="n">
        <v>0.12</v>
      </c>
      <c r="F9" t="n">
        <v>1060246</v>
      </c>
      <c r="G9" t="n">
        <v>381226</v>
      </c>
    </row>
    <row r="10">
      <c r="A10" t="inlineStr">
        <is>
          <t>A-03</t>
        </is>
      </c>
      <c r="B10" t="inlineStr">
        <is>
          <t>Share of units that are reefers</t>
        </is>
      </c>
      <c r="C10" t="n">
        <v>0.08</v>
      </c>
      <c r="D10" t="n">
        <v>538227</v>
      </c>
      <c r="E10" t="n">
        <v>0.16</v>
      </c>
      <c r="F10" t="n">
        <v>901919</v>
      </c>
      <c r="G10" t="n">
        <v>363692</v>
      </c>
    </row>
    <row r="11">
      <c r="A11" t="inlineStr">
        <is>
          <t>A-39</t>
        </is>
      </c>
      <c r="B11" t="inlineStr">
        <is>
          <t>Contribution margin lost per withdrawn unit</t>
        </is>
      </c>
      <c r="C11" t="n">
        <v>300</v>
      </c>
      <c r="D11" t="n">
        <v>682972</v>
      </c>
      <c r="E11" t="n">
        <v>600</v>
      </c>
      <c r="F11" t="n">
        <v>1021396</v>
      </c>
      <c r="G11" t="n">
        <v>338424</v>
      </c>
    </row>
    <row r="12">
      <c r="A12" t="inlineStr">
        <is>
          <t>A-24</t>
        </is>
      </c>
      <c r="B12" t="inlineStr">
        <is>
          <t>Customers who call the same evening (AS-IS)</t>
        </is>
      </c>
      <c r="C12" t="n">
        <v>0.25</v>
      </c>
      <c r="D12" t="n">
        <v>1056387</v>
      </c>
      <c r="E12" t="n">
        <v>0.55</v>
      </c>
      <c r="F12" t="n">
        <v>787012</v>
      </c>
      <c r="G12" t="n">
        <v>269375</v>
      </c>
    </row>
    <row r="13">
      <c r="A13" t="inlineStr">
        <is>
          <t>A-06</t>
        </is>
      </c>
      <c r="B13" t="inlineStr">
        <is>
          <t>Perishable deadline: earliest, hours after the original departure</t>
        </is>
      </c>
      <c r="C13" t="n">
        <v>10</v>
      </c>
      <c r="D13" t="n">
        <v>876415</v>
      </c>
      <c r="E13" t="n">
        <v>18</v>
      </c>
      <c r="F13" t="n">
        <v>661563</v>
      </c>
      <c r="G13" t="n">
        <v>214852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2026-10-12T00:47:00Z</dcterms:created>
  <dcterms:modified xmlns:dcterms="http://purl.org/dc/terms/" xmlns:xsi="http://www.w3.org/2001/XMLSchema-instance" xsi:type="dcterms:W3CDTF">2026-10-12T00:47:00Z</dcterms:modified>
</cp:coreProperties>
</file>